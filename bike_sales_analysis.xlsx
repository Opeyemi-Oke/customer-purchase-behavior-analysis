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890" activeTab="1"/>
  </bookViews>
  <sheets>
    <sheet name="Pivot_Table" sheetId="3" r:id="rId1"/>
    <sheet name="Dashboard" sheetId="4" r:id="rId2"/>
  </sheets>
  <definedNames>
    <definedName name="Slicer_Education">#N/A</definedName>
    <definedName name="Slicer_Marital_Status">#N/A</definedName>
    <definedName name="Slicer_Region">#N/A</definedName>
  </definedNames>
  <calcPr calcId="152511"/>
  <pivotCaches>
    <pivotCache cacheId="5"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<sst xmlns="http://schemas.openxmlformats.org/spreadsheetml/2006/main" count="30" uniqueCount="16">
  <si>
    <t>Yes</t>
  </si>
  <si>
    <t>0-1 Miles</t>
  </si>
  <si>
    <t>No</t>
  </si>
  <si>
    <t>2-5 Miles</t>
  </si>
  <si>
    <t>1-2 Miles</t>
  </si>
  <si>
    <t>10+ Miles</t>
  </si>
  <si>
    <t>Female</t>
  </si>
  <si>
    <t>Male</t>
  </si>
  <si>
    <t>Row Labels</t>
  </si>
  <si>
    <t>Grand Total</t>
  </si>
  <si>
    <t>Average of Income</t>
  </si>
  <si>
    <t>Column Labels</t>
  </si>
  <si>
    <t>Count of Purchased Bike</t>
  </si>
  <si>
    <t>Bike Sales Dashboard</t>
  </si>
  <si>
    <t>Young to Middle Age</t>
  </si>
  <si>
    <t xml:space="preserve">old,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</si>
</sst>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quot;$&quot;#,##0.00"/>
    <numFmt numFmtId="165" formatCode="_(* #,##0.0_);_(* \(#,##0.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i/>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42" applyNumberFormat="1" applyFont="1"/>
    <xf numFmtId="0" fontId="17" fillId="33" borderId="0" xfId="0" applyFont="1" applyFill="1"/>
    <xf numFmtId="0" fontId="18" fillId="33" borderId="0" xfId="0" applyFont="1" applyFill="1"/>
    <xf numFmtId="0" fontId="19"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_(* #,##0.0_);_(* \(#,##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r>
              <a:rPr lang="en-US"/>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Pivot_Table!$A$5:$A$7</c:f>
              <c:strCache>
                <c:ptCount val="2"/>
                <c:pt idx="0">
                  <c:v>Female</c:v>
                </c:pt>
                <c:pt idx="1">
                  <c:v>Male</c:v>
                </c:pt>
              </c:strCache>
            </c:strRef>
          </c:cat>
          <c:val>
            <c:numRef>
              <c:f>Pivot_Table!$B$5:$B$7</c:f>
              <c:numCache>
                <c:formatCode>_(* #,##0.0_);_(* \(#,##0.0\);_(* "-"??_);_(@_)</c:formatCode>
                <c:ptCount val="2"/>
                <c:pt idx="0">
                  <c:v>39375</c:v>
                </c:pt>
                <c:pt idx="1">
                  <c:v>40000</c:v>
                </c:pt>
              </c:numCache>
            </c:numRef>
          </c:val>
        </c:ser>
        <c:ser>
          <c:idx val="1"/>
          <c:order val="1"/>
          <c:tx>
            <c:strRef>
              <c:f>Pivot_Table!$C$3:$C$4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Pivot_Table!$A$5:$A$7</c:f>
              <c:strCache>
                <c:ptCount val="2"/>
                <c:pt idx="0">
                  <c:v>Female</c:v>
                </c:pt>
                <c:pt idx="1">
                  <c:v>Male</c:v>
                </c:pt>
              </c:strCache>
            </c:strRef>
          </c:cat>
          <c:val>
            <c:numRef>
              <c:f>Pivot_Table!$C$5:$C$7</c:f>
              <c:numCache>
                <c:formatCode>_(* #,##0.0_);_(* \(#,##0.0\);_(* "-"??_);_(@_)</c:formatCode>
                <c:ptCount val="2"/>
                <c:pt idx="0">
                  <c:v>40000</c:v>
                </c:pt>
                <c:pt idx="1">
                  <c:v>35294.117647058825</c:v>
                </c:pt>
              </c:numCache>
            </c:numRef>
          </c:val>
        </c:ser>
        <c:dLbls>
          <c:dLblPos val="outEnd"/>
          <c:showLegendKey val="0"/>
          <c:showVal val="1"/>
          <c:showCatName val="0"/>
          <c:showSerName val="0"/>
          <c:showPercent val="0"/>
          <c:showBubbleSize val="0"/>
        </c:dLbls>
        <c:gapWidth val="219"/>
        <c:overlap val="-27"/>
        <c:axId val="408776832"/>
        <c:axId val="408779968"/>
      </c:barChart>
      <c:catAx>
        <c:axId val="408776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79968"/>
        <c:crosses val="autoZero"/>
        <c:auto val="1"/>
        <c:lblAlgn val="ctr"/>
        <c:lblOffset val="100"/>
        <c:noMultiLvlLbl val="0"/>
      </c:catAx>
      <c:valAx>
        <c:axId val="408779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768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manualLayout>
          <c:xMode val="edge"/>
          <c:yMode val="edge"/>
          <c:x val="0.36060928163796041"/>
          <c:y val="6.00552724273777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0.1347631087398479"/>
          <c:y val="0.1634875930721868"/>
          <c:w val="0.71797462817147861"/>
          <c:h val="0.65853091280256637"/>
        </c:manualLayout>
      </c:layout>
      <c:lineChart>
        <c:grouping val="standard"/>
        <c:varyColors val="0"/>
        <c:ser>
          <c:idx val="0"/>
          <c:order val="0"/>
          <c:tx>
            <c:strRef>
              <c:f>Pivot_Table!$B$26:$B$27</c:f>
              <c:strCache>
                <c:ptCount val="1"/>
                <c:pt idx="0">
                  <c:v>No</c:v>
                </c:pt>
              </c:strCache>
            </c:strRef>
          </c:tx>
          <c:spPr>
            <a:ln w="28575" cap="rnd">
              <a:solidFill>
                <a:schemeClr val="accent1"/>
              </a:solidFill>
              <a:round/>
            </a:ln>
            <a:effectLst/>
          </c:spPr>
          <c:marker>
            <c:symbol val="none"/>
          </c:marker>
          <c:cat>
            <c:strRef>
              <c:f>Pivot_Table!$A$28:$A$32</c:f>
              <c:strCache>
                <c:ptCount val="4"/>
                <c:pt idx="0">
                  <c:v>0-1 Miles</c:v>
                </c:pt>
                <c:pt idx="1">
                  <c:v>10+ Miles</c:v>
                </c:pt>
                <c:pt idx="2">
                  <c:v>1-2 Miles</c:v>
                </c:pt>
                <c:pt idx="3">
                  <c:v>2-5 Miles</c:v>
                </c:pt>
              </c:strCache>
            </c:strRef>
          </c:cat>
          <c:val>
            <c:numRef>
              <c:f>Pivot_Table!$B$28:$B$32</c:f>
              <c:numCache>
                <c:formatCode>General</c:formatCode>
                <c:ptCount val="4"/>
                <c:pt idx="0">
                  <c:v>19</c:v>
                </c:pt>
                <c:pt idx="1">
                  <c:v>1</c:v>
                </c:pt>
                <c:pt idx="3">
                  <c:v>4</c:v>
                </c:pt>
              </c:numCache>
            </c:numRef>
          </c:val>
          <c:smooth val="0"/>
        </c:ser>
        <c:ser>
          <c:idx val="1"/>
          <c:order val="1"/>
          <c:tx>
            <c:strRef>
              <c:f>Pivot_Table!$C$26:$C$27</c:f>
              <c:strCache>
                <c:ptCount val="1"/>
                <c:pt idx="0">
                  <c:v>Yes</c:v>
                </c:pt>
              </c:strCache>
            </c:strRef>
          </c:tx>
          <c:spPr>
            <a:ln w="28575" cap="rnd">
              <a:solidFill>
                <a:schemeClr val="accent2"/>
              </a:solidFill>
              <a:round/>
            </a:ln>
            <a:effectLst/>
          </c:spPr>
          <c:marker>
            <c:symbol val="none"/>
          </c:marker>
          <c:cat>
            <c:strRef>
              <c:f>Pivot_Table!$A$28:$A$32</c:f>
              <c:strCache>
                <c:ptCount val="4"/>
                <c:pt idx="0">
                  <c:v>0-1 Miles</c:v>
                </c:pt>
                <c:pt idx="1">
                  <c:v>10+ Miles</c:v>
                </c:pt>
                <c:pt idx="2">
                  <c:v>1-2 Miles</c:v>
                </c:pt>
                <c:pt idx="3">
                  <c:v>2-5 Miles</c:v>
                </c:pt>
              </c:strCache>
            </c:strRef>
          </c:cat>
          <c:val>
            <c:numRef>
              <c:f>Pivot_Table!$C$28:$C$32</c:f>
              <c:numCache>
                <c:formatCode>General</c:formatCode>
                <c:ptCount val="4"/>
                <c:pt idx="0">
                  <c:v>31</c:v>
                </c:pt>
                <c:pt idx="1">
                  <c:v>1</c:v>
                </c:pt>
                <c:pt idx="2">
                  <c:v>3</c:v>
                </c:pt>
              </c:numCache>
            </c:numRef>
          </c:val>
          <c:smooth val="0"/>
        </c:ser>
        <c:dLbls>
          <c:showLegendKey val="0"/>
          <c:showVal val="0"/>
          <c:showCatName val="0"/>
          <c:showSerName val="0"/>
          <c:showPercent val="0"/>
          <c:showBubbleSize val="0"/>
        </c:dLbls>
        <c:smooth val="0"/>
        <c:axId val="408777616"/>
        <c:axId val="401182600"/>
      </c:lineChart>
      <c:catAx>
        <c:axId val="408777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82600"/>
        <c:crosses val="autoZero"/>
        <c:auto val="1"/>
        <c:lblAlgn val="ctr"/>
        <c:lblOffset val="100"/>
        <c:noMultiLvlLbl val="0"/>
      </c:catAx>
      <c:valAx>
        <c:axId val="401182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776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Pivot_Table!$B$47:$B$48</c:f>
              <c:strCache>
                <c:ptCount val="1"/>
                <c:pt idx="0">
                  <c:v>No</c:v>
                </c:pt>
              </c:strCache>
            </c:strRef>
          </c:tx>
          <c:spPr>
            <a:ln w="28575" cap="rnd">
              <a:solidFill>
                <a:schemeClr val="accent1"/>
              </a:solidFill>
              <a:round/>
            </a:ln>
            <a:effectLst/>
          </c:spPr>
          <c:marker>
            <c:symbol val="none"/>
          </c:marker>
          <c:cat>
            <c:strRef>
              <c:f>Pivot_Table!$A$49:$A$51</c:f>
              <c:strCache>
                <c:ptCount val="2"/>
                <c:pt idx="0">
                  <c:v>Young to Middle Age</c:v>
                </c:pt>
                <c:pt idx="1">
                  <c:v>old, </c:v>
                </c:pt>
              </c:strCache>
            </c:strRef>
          </c:cat>
          <c:val>
            <c:numRef>
              <c:f>Pivot_Table!$B$49:$B$51</c:f>
              <c:numCache>
                <c:formatCode>General</c:formatCode>
                <c:ptCount val="2"/>
                <c:pt idx="0">
                  <c:v>13</c:v>
                </c:pt>
                <c:pt idx="1">
                  <c:v>11</c:v>
                </c:pt>
              </c:numCache>
            </c:numRef>
          </c:val>
          <c:smooth val="0"/>
        </c:ser>
        <c:ser>
          <c:idx val="1"/>
          <c:order val="1"/>
          <c:tx>
            <c:strRef>
              <c:f>Pivot_Table!$C$47:$C$48</c:f>
              <c:strCache>
                <c:ptCount val="1"/>
                <c:pt idx="0">
                  <c:v>Yes</c:v>
                </c:pt>
              </c:strCache>
            </c:strRef>
          </c:tx>
          <c:spPr>
            <a:ln w="28575" cap="rnd">
              <a:solidFill>
                <a:schemeClr val="accent2"/>
              </a:solidFill>
              <a:round/>
            </a:ln>
            <a:effectLst/>
          </c:spPr>
          <c:marker>
            <c:symbol val="none"/>
          </c:marker>
          <c:cat>
            <c:strRef>
              <c:f>Pivot_Table!$A$49:$A$51</c:f>
              <c:strCache>
                <c:ptCount val="2"/>
                <c:pt idx="0">
                  <c:v>Young to Middle Age</c:v>
                </c:pt>
                <c:pt idx="1">
                  <c:v>old, </c:v>
                </c:pt>
              </c:strCache>
            </c:strRef>
          </c:cat>
          <c:val>
            <c:numRef>
              <c:f>Pivot_Table!$C$49:$C$51</c:f>
              <c:numCache>
                <c:formatCode>General</c:formatCode>
                <c:ptCount val="2"/>
                <c:pt idx="0">
                  <c:v>32</c:v>
                </c:pt>
                <c:pt idx="1">
                  <c:v>3</c:v>
                </c:pt>
              </c:numCache>
            </c:numRef>
          </c:val>
          <c:smooth val="0"/>
        </c:ser>
        <c:dLbls>
          <c:showLegendKey val="0"/>
          <c:showVal val="0"/>
          <c:showCatName val="0"/>
          <c:showSerName val="0"/>
          <c:showPercent val="0"/>
          <c:showBubbleSize val="0"/>
        </c:dLbls>
        <c:smooth val="0"/>
        <c:axId val="405667584"/>
        <c:axId val="405667976"/>
      </c:lineChart>
      <c:catAx>
        <c:axId val="405667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38494313210848646"/>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667976"/>
        <c:crosses val="autoZero"/>
        <c:auto val="1"/>
        <c:lblAlgn val="ctr"/>
        <c:lblOffset val="100"/>
        <c:noMultiLvlLbl val="0"/>
      </c:catAx>
      <c:valAx>
        <c:axId val="405667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66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manualLayout>
          <c:xMode val="edge"/>
          <c:yMode val="edge"/>
          <c:x val="0.31762489063867017"/>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Pivot_Table!$B$47:$B$48</c:f>
              <c:strCache>
                <c:ptCount val="1"/>
                <c:pt idx="0">
                  <c:v>No</c:v>
                </c:pt>
              </c:strCache>
            </c:strRef>
          </c:tx>
          <c:spPr>
            <a:ln w="28575" cap="rnd">
              <a:solidFill>
                <a:schemeClr val="accent1"/>
              </a:solidFill>
              <a:round/>
            </a:ln>
            <a:effectLst/>
          </c:spPr>
          <c:marker>
            <c:symbol val="none"/>
          </c:marker>
          <c:cat>
            <c:strRef>
              <c:f>Pivot_Table!$A$49:$A$51</c:f>
              <c:strCache>
                <c:ptCount val="2"/>
                <c:pt idx="0">
                  <c:v>Young to Middle Age</c:v>
                </c:pt>
                <c:pt idx="1">
                  <c:v>old, </c:v>
                </c:pt>
              </c:strCache>
            </c:strRef>
          </c:cat>
          <c:val>
            <c:numRef>
              <c:f>Pivot_Table!$B$49:$B$51</c:f>
              <c:numCache>
                <c:formatCode>General</c:formatCode>
                <c:ptCount val="2"/>
                <c:pt idx="0">
                  <c:v>13</c:v>
                </c:pt>
                <c:pt idx="1">
                  <c:v>11</c:v>
                </c:pt>
              </c:numCache>
            </c:numRef>
          </c:val>
          <c:smooth val="0"/>
        </c:ser>
        <c:ser>
          <c:idx val="1"/>
          <c:order val="1"/>
          <c:tx>
            <c:strRef>
              <c:f>Pivot_Table!$C$47:$C$48</c:f>
              <c:strCache>
                <c:ptCount val="1"/>
                <c:pt idx="0">
                  <c:v>Yes</c:v>
                </c:pt>
              </c:strCache>
            </c:strRef>
          </c:tx>
          <c:spPr>
            <a:ln w="28575" cap="rnd">
              <a:solidFill>
                <a:schemeClr val="accent2"/>
              </a:solidFill>
              <a:round/>
            </a:ln>
            <a:effectLst/>
          </c:spPr>
          <c:marker>
            <c:symbol val="none"/>
          </c:marker>
          <c:cat>
            <c:strRef>
              <c:f>Pivot_Table!$A$49:$A$51</c:f>
              <c:strCache>
                <c:ptCount val="2"/>
                <c:pt idx="0">
                  <c:v>Young to Middle Age</c:v>
                </c:pt>
                <c:pt idx="1">
                  <c:v>old, </c:v>
                </c:pt>
              </c:strCache>
            </c:strRef>
          </c:cat>
          <c:val>
            <c:numRef>
              <c:f>Pivot_Table!$C$49:$C$51</c:f>
              <c:numCache>
                <c:formatCode>General</c:formatCode>
                <c:ptCount val="2"/>
                <c:pt idx="0">
                  <c:v>32</c:v>
                </c:pt>
                <c:pt idx="1">
                  <c:v>3</c:v>
                </c:pt>
              </c:numCache>
            </c:numRef>
          </c:val>
          <c:smooth val="0"/>
        </c:ser>
        <c:dLbls>
          <c:showLegendKey val="0"/>
          <c:showVal val="0"/>
          <c:showCatName val="0"/>
          <c:showSerName val="0"/>
          <c:showPercent val="0"/>
          <c:showBubbleSize val="0"/>
        </c:dLbls>
        <c:smooth val="0"/>
        <c:axId val="405667192"/>
        <c:axId val="412415872"/>
      </c:lineChart>
      <c:catAx>
        <c:axId val="405667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38494313210848646"/>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415872"/>
        <c:crosses val="autoZero"/>
        <c:auto val="1"/>
        <c:lblAlgn val="ctr"/>
        <c:lblOffset val="100"/>
        <c:noMultiLvlLbl val="0"/>
      </c:catAx>
      <c:valAx>
        <c:axId val="41241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6671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layout>
        <c:manualLayout>
          <c:xMode val="edge"/>
          <c:yMode val="edge"/>
          <c:x val="0.36060928163796041"/>
          <c:y val="6.005527242737777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676870210500796"/>
          <c:y val="0.16809122997556339"/>
          <c:w val="0.71797462817147861"/>
          <c:h val="0.65853091280256637"/>
        </c:manualLayout>
      </c:layout>
      <c:lineChart>
        <c:grouping val="standard"/>
        <c:varyColors val="0"/>
        <c:ser>
          <c:idx val="0"/>
          <c:order val="0"/>
          <c:tx>
            <c:strRef>
              <c:f>Pivot_Table!$B$26:$B$27</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Pivot_Table!$A$28:$A$32</c:f>
              <c:strCache>
                <c:ptCount val="4"/>
                <c:pt idx="0">
                  <c:v>0-1 Miles</c:v>
                </c:pt>
                <c:pt idx="1">
                  <c:v>10+ Miles</c:v>
                </c:pt>
                <c:pt idx="2">
                  <c:v>1-2 Miles</c:v>
                </c:pt>
                <c:pt idx="3">
                  <c:v>2-5 Miles</c:v>
                </c:pt>
              </c:strCache>
            </c:strRef>
          </c:cat>
          <c:val>
            <c:numRef>
              <c:f>Pivot_Table!$B$28:$B$32</c:f>
              <c:numCache>
                <c:formatCode>General</c:formatCode>
                <c:ptCount val="4"/>
                <c:pt idx="0">
                  <c:v>19</c:v>
                </c:pt>
                <c:pt idx="1">
                  <c:v>1</c:v>
                </c:pt>
                <c:pt idx="3">
                  <c:v>4</c:v>
                </c:pt>
              </c:numCache>
            </c:numRef>
          </c:val>
          <c:smooth val="0"/>
        </c:ser>
        <c:ser>
          <c:idx val="1"/>
          <c:order val="1"/>
          <c:tx>
            <c:strRef>
              <c:f>Pivot_Table!$C$26:$C$27</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Pivot_Table!$A$28:$A$32</c:f>
              <c:strCache>
                <c:ptCount val="4"/>
                <c:pt idx="0">
                  <c:v>0-1 Miles</c:v>
                </c:pt>
                <c:pt idx="1">
                  <c:v>10+ Miles</c:v>
                </c:pt>
                <c:pt idx="2">
                  <c:v>1-2 Miles</c:v>
                </c:pt>
                <c:pt idx="3">
                  <c:v>2-5 Miles</c:v>
                </c:pt>
              </c:strCache>
            </c:strRef>
          </c:cat>
          <c:val>
            <c:numRef>
              <c:f>Pivot_Table!$C$28:$C$32</c:f>
              <c:numCache>
                <c:formatCode>General</c:formatCode>
                <c:ptCount val="4"/>
                <c:pt idx="0">
                  <c:v>31</c:v>
                </c:pt>
                <c:pt idx="1">
                  <c:v>1</c:v>
                </c:pt>
                <c:pt idx="2">
                  <c:v>3</c:v>
                </c:pt>
              </c:numCache>
            </c:numRef>
          </c:val>
          <c:smooth val="0"/>
        </c:ser>
        <c:dLbls>
          <c:dLblPos val="ctr"/>
          <c:showLegendKey val="0"/>
          <c:showVal val="1"/>
          <c:showCatName val="0"/>
          <c:showSerName val="0"/>
          <c:showPercent val="0"/>
          <c:showBubbleSize val="0"/>
        </c:dLbls>
        <c:marker val="1"/>
        <c:smooth val="0"/>
        <c:axId val="412416264"/>
        <c:axId val="412417048"/>
      </c:lineChart>
      <c:catAx>
        <c:axId val="4124162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12417048"/>
        <c:crosses val="autoZero"/>
        <c:auto val="1"/>
        <c:lblAlgn val="ctr"/>
        <c:lblOffset val="100"/>
        <c:noMultiLvlLbl val="0"/>
      </c:catAx>
      <c:valAx>
        <c:axId val="41241704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124162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r>
              <a:rPr lang="en-US"/>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_(* #,##0.0_);_(* \(#,##0.0\);_(* "-"??_);_(@_)</c:formatCode>
                <c:ptCount val="2"/>
                <c:pt idx="0">
                  <c:v>39375</c:v>
                </c:pt>
                <c:pt idx="1">
                  <c:v>40000</c:v>
                </c:pt>
              </c:numCache>
            </c:numRef>
          </c:val>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_(* #,##0.0_);_(* \(#,##0.0\);_(* "-"??_);_(@_)</c:formatCode>
                <c:ptCount val="2"/>
                <c:pt idx="0">
                  <c:v>40000</c:v>
                </c:pt>
                <c:pt idx="1">
                  <c:v>35294.117647058825</c:v>
                </c:pt>
              </c:numCache>
            </c:numRef>
          </c:val>
        </c:ser>
        <c:dLbls>
          <c:showLegendKey val="0"/>
          <c:showVal val="0"/>
          <c:showCatName val="0"/>
          <c:showSerName val="0"/>
          <c:showPercent val="0"/>
          <c:showBubbleSize val="0"/>
        </c:dLbls>
        <c:gapWidth val="219"/>
        <c:overlap val="-27"/>
        <c:axId val="312289320"/>
        <c:axId val="312292456"/>
      </c:barChart>
      <c:catAx>
        <c:axId val="312289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292456"/>
        <c:crosses val="autoZero"/>
        <c:auto val="1"/>
        <c:lblAlgn val="ctr"/>
        <c:lblOffset val="100"/>
        <c:noMultiLvlLbl val="0"/>
      </c:catAx>
      <c:valAx>
        <c:axId val="312292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289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469900</xdr:colOff>
      <xdr:row>0</xdr:row>
      <xdr:rowOff>120650</xdr:rowOff>
    </xdr:from>
    <xdr:to>
      <xdr:col>14</xdr:col>
      <xdr:colOff>412750</xdr:colOff>
      <xdr:row>17</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50800</xdr:colOff>
      <xdr:row>22</xdr:row>
      <xdr:rowOff>79374</xdr:rowOff>
    </xdr:from>
    <xdr:to>
      <xdr:col>13</xdr:col>
      <xdr:colOff>285750</xdr:colOff>
      <xdr:row>41</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508000</xdr:colOff>
      <xdr:row>45</xdr:row>
      <xdr:rowOff>15875</xdr:rowOff>
    </xdr:from>
    <xdr:to>
      <xdr:col>12</xdr:col>
      <xdr:colOff>203200</xdr:colOff>
      <xdr:row>59</xdr:row>
      <xdr:rowOff>180975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393700</xdr:colOff>
      <xdr:row>3</xdr:row>
      <xdr:rowOff>0</xdr:rowOff>
    </xdr:from>
    <xdr:to>
      <xdr:col>13</xdr:col>
      <xdr:colOff>0</xdr:colOff>
      <xdr:row>18</xdr:row>
      <xdr:rowOff>6350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18</xdr:row>
      <xdr:rowOff>0</xdr:rowOff>
    </xdr:from>
    <xdr:to>
      <xdr:col>13</xdr:col>
      <xdr:colOff>0</xdr:colOff>
      <xdr:row>30</xdr:row>
      <xdr:rowOff>152400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xdr:row>
      <xdr:rowOff>0</xdr:rowOff>
    </xdr:from>
    <xdr:to>
      <xdr:col>7</xdr:col>
      <xdr:colOff>393700</xdr:colOff>
      <xdr:row>17</xdr:row>
      <xdr:rowOff>165100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0</xdr:rowOff>
    </xdr:from>
    <xdr:to>
      <xdr:col>2</xdr:col>
      <xdr:colOff>0</xdr:colOff>
      <xdr:row>8</xdr:row>
      <xdr:rowOff>117475</xdr:rowOff>
    </xdr:to>
    <mc:AlternateContent xmlns:mc="http://schemas.openxmlformats.org/markup-compatibility/2006" xmlns:a14="http://schemas.microsoft.com/office/drawing/2010/main">
      <mc:Choice Requires="a14">
        <xdr:graphicFrame macro="">
          <xdr:nvGraphicFramePr>
            <xdr:cNvPr id="12"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666750"/>
              <a:ext cx="1219200" cy="1038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0</xdr:rowOff>
    </xdr:from>
    <xdr:to>
      <xdr:col>2</xdr:col>
      <xdr:colOff>12700</xdr:colOff>
      <xdr:row>30</xdr:row>
      <xdr:rowOff>146050</xdr:rowOff>
    </xdr:to>
    <mc:AlternateContent xmlns:mc="http://schemas.openxmlformats.org/markup-compatibility/2006" xmlns:a14="http://schemas.microsoft.com/office/drawing/2010/main">
      <mc:Choice Requires="a14">
        <xdr:graphicFrame macro="">
          <xdr:nvGraphicFramePr>
            <xdr:cNvPr id="13"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060700"/>
              <a:ext cx="1219200" cy="239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136525</xdr:rowOff>
    </xdr:from>
    <xdr:to>
      <xdr:col>2</xdr:col>
      <xdr:colOff>0</xdr:colOff>
      <xdr:row>15</xdr:row>
      <xdr:rowOff>146050</xdr:rowOff>
    </xdr:to>
    <mc:AlternateContent xmlns:mc="http://schemas.openxmlformats.org/markup-compatibility/2006" xmlns:a14="http://schemas.microsoft.com/office/drawing/2010/main">
      <mc:Choice Requires="a14">
        <xdr:graphicFrame macro="">
          <xdr:nvGraphicFramePr>
            <xdr:cNvPr id="1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539875"/>
              <a:ext cx="12192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27.650898958331" createdVersion="5" refreshedVersion="5" minRefreshableVersion="3" recordCount="1000">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More than 10 Miles"/>
        <s v="1-2 Miles"/>
        <s v="10+ Miles"/>
        <s v="5-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 numFmtId="0">
      <sharedItems count="6">
        <s v="Young to Middle Age"/>
        <s v="old, "/>
        <s v="Adolescent"/>
        <s v="Middle Age"/>
        <s v="Old" u="1"/>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3"/>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3"/>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3"/>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3"/>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3"/>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3"/>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3"/>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3"/>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3"/>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3"/>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3"/>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3"/>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3"/>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3"/>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3"/>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3"/>
    <x v="1"/>
  </r>
  <r>
    <n v="29106"/>
    <x v="1"/>
    <x v="1"/>
    <n v="40000"/>
    <n v="0"/>
    <x v="2"/>
    <s v="Skilled Manual"/>
    <s v="No"/>
    <n v="2"/>
    <x v="3"/>
    <x v="2"/>
    <n v="31"/>
    <x v="3"/>
    <x v="1"/>
  </r>
  <r>
    <n v="26236"/>
    <x v="0"/>
    <x v="0"/>
    <n v="40000"/>
    <n v="3"/>
    <x v="1"/>
    <s v="Clerical"/>
    <s v="Yes"/>
    <n v="1"/>
    <x v="0"/>
    <x v="2"/>
    <n v="31"/>
    <x v="3"/>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3"/>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3"/>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3"/>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3"/>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3"/>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3"/>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3"/>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47:D51"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defaultSubtotal="0">
      <items count="6">
        <item x="2"/>
        <item m="1" x="5"/>
        <item x="3"/>
        <item m="1" x="4"/>
        <item x="0"/>
        <item x="1"/>
      </items>
    </pivotField>
    <pivotField axis="axisCol" dataField="1" showAll="0">
      <items count="3">
        <item x="0"/>
        <item x="1"/>
        <item t="default"/>
      </items>
    </pivotField>
  </pivotFields>
  <rowFields count="1">
    <field x="12"/>
  </rowFields>
  <rowItems count="3">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26:D32"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axis="axisRow" showAll="0">
      <items count="7">
        <item x="0"/>
        <item x="4"/>
        <item x="3"/>
        <item x="1"/>
        <item m="1" x="5"/>
        <item x="2"/>
        <item t="default"/>
      </items>
    </pivotField>
    <pivotField showAll="0">
      <items count="4">
        <item x="0"/>
        <item h="1" x="2"/>
        <item h="1" x="1"/>
        <item t="default"/>
      </items>
    </pivotField>
    <pivotField showAll="0"/>
    <pivotField showAll="0" defaultSubtotal="0"/>
    <pivotField axis="axisCol" dataField="1" showAll="0">
      <items count="3">
        <item x="0"/>
        <item x="1"/>
        <item t="default"/>
      </items>
    </pivotField>
  </pivotFields>
  <rowFields count="1">
    <field x="9"/>
  </rowFields>
  <rowItems count="5">
    <i>
      <x/>
    </i>
    <i>
      <x v="1"/>
    </i>
    <i>
      <x v="2"/>
    </i>
    <i>
      <x v="3"/>
    </i>
    <i t="grand">
      <x/>
    </i>
  </rowItems>
  <colFields count="1">
    <field x="13"/>
  </colFields>
  <colItems count="3">
    <i>
      <x/>
    </i>
    <i>
      <x v="1"/>
    </i>
    <i t="grand">
      <x/>
    </i>
  </colItems>
  <dataFields count="1">
    <dataField name="Count of Purchased Bike" fld="13" subtotal="count" baseField="9"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D7" firstHeaderRow="1" firstDataRow="2" firstDataCol="1"/>
  <pivotFields count="14">
    <pivotField showAll="0"/>
    <pivotField showAll="0">
      <items count="3">
        <item x="0"/>
        <item h="1" x="1"/>
        <item t="default"/>
      </items>
    </pivotField>
    <pivotField axis="axisRow" showAll="0" sortType="ascending">
      <items count="3">
        <item x="0"/>
        <item x="1"/>
        <item t="default"/>
      </items>
    </pivotField>
    <pivotField dataField="1"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defaultSubtota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3"/>
    <pivotTable tabId="3" name="PivotTable1"/>
    <pivotTable tabId="3" name="PivotTable2"/>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1">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s>
  <data>
    <tabular pivotCacheId="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51"/>
  <sheetViews>
    <sheetView topLeftCell="A2" workbookViewId="0">
      <selection activeCell="D6" sqref="D6"/>
    </sheetView>
  </sheetViews>
  <sheetFormatPr defaultRowHeight="14.5" x14ac:dyDescent="0.35"/>
  <cols>
    <col min="1" max="1" width="21.54296875" customWidth="1"/>
    <col min="2" max="2" width="15.26953125" customWidth="1"/>
    <col min="3" max="3" width="3.6328125" customWidth="1"/>
    <col min="4" max="4" width="10.7265625" customWidth="1"/>
  </cols>
  <sheetData>
    <row r="3" spans="1:17" x14ac:dyDescent="0.35">
      <c r="A3" s="2" t="s">
        <v>10</v>
      </c>
      <c r="B3" s="2" t="s">
        <v>11</v>
      </c>
    </row>
    <row r="4" spans="1:17" x14ac:dyDescent="0.35">
      <c r="A4" s="2" t="s">
        <v>8</v>
      </c>
      <c r="B4" t="s">
        <v>2</v>
      </c>
      <c r="C4" t="s">
        <v>0</v>
      </c>
      <c r="D4" t="s">
        <v>9</v>
      </c>
    </row>
    <row r="5" spans="1:17" x14ac:dyDescent="0.35">
      <c r="A5" s="3" t="s">
        <v>6</v>
      </c>
      <c r="B5" s="4">
        <v>39375</v>
      </c>
      <c r="C5" s="4">
        <v>40000</v>
      </c>
      <c r="D5" s="4">
        <v>39705.882352941175</v>
      </c>
    </row>
    <row r="6" spans="1:17" x14ac:dyDescent="0.35">
      <c r="A6" s="3" t="s">
        <v>7</v>
      </c>
      <c r="B6" s="4">
        <v>40000</v>
      </c>
      <c r="C6" s="4">
        <v>35294.117647058825</v>
      </c>
      <c r="D6" s="4">
        <v>36800</v>
      </c>
    </row>
    <row r="7" spans="1:17" x14ac:dyDescent="0.35">
      <c r="A7" s="3" t="s">
        <v>9</v>
      </c>
      <c r="B7" s="4">
        <v>39583.333333333336</v>
      </c>
      <c r="C7" s="4">
        <v>37714.285714285717</v>
      </c>
      <c r="D7" s="4">
        <v>38474.576271186437</v>
      </c>
    </row>
    <row r="10" spans="1:17" x14ac:dyDescent="0.35">
      <c r="Q10" s="5"/>
    </row>
    <row r="26" spans="1:4" x14ac:dyDescent="0.35">
      <c r="A26" s="2" t="s">
        <v>12</v>
      </c>
      <c r="B26" s="2" t="s">
        <v>11</v>
      </c>
    </row>
    <row r="27" spans="1:4" x14ac:dyDescent="0.35">
      <c r="A27" s="2" t="s">
        <v>8</v>
      </c>
      <c r="B27" t="s">
        <v>2</v>
      </c>
      <c r="C27" t="s">
        <v>0</v>
      </c>
      <c r="D27" t="s">
        <v>9</v>
      </c>
    </row>
    <row r="28" spans="1:4" x14ac:dyDescent="0.35">
      <c r="A28" s="3" t="s">
        <v>1</v>
      </c>
      <c r="B28" s="1">
        <v>19</v>
      </c>
      <c r="C28" s="1">
        <v>31</v>
      </c>
      <c r="D28" s="1">
        <v>50</v>
      </c>
    </row>
    <row r="29" spans="1:4" x14ac:dyDescent="0.35">
      <c r="A29" s="3" t="s">
        <v>5</v>
      </c>
      <c r="B29" s="1">
        <v>1</v>
      </c>
      <c r="C29" s="1">
        <v>1</v>
      </c>
      <c r="D29" s="1">
        <v>2</v>
      </c>
    </row>
    <row r="30" spans="1:4" x14ac:dyDescent="0.35">
      <c r="A30" s="3" t="s">
        <v>4</v>
      </c>
      <c r="B30" s="1"/>
      <c r="C30" s="1">
        <v>3</v>
      </c>
      <c r="D30" s="1">
        <v>3</v>
      </c>
    </row>
    <row r="31" spans="1:4" x14ac:dyDescent="0.35">
      <c r="A31" s="3" t="s">
        <v>3</v>
      </c>
      <c r="B31" s="1">
        <v>4</v>
      </c>
      <c r="C31" s="1"/>
      <c r="D31" s="1">
        <v>4</v>
      </c>
    </row>
    <row r="32" spans="1:4" x14ac:dyDescent="0.35">
      <c r="A32" s="3" t="s">
        <v>9</v>
      </c>
      <c r="B32" s="1">
        <v>24</v>
      </c>
      <c r="C32" s="1">
        <v>35</v>
      </c>
      <c r="D32" s="1">
        <v>59</v>
      </c>
    </row>
    <row r="47" spans="1:4" x14ac:dyDescent="0.35">
      <c r="A47" s="2" t="s">
        <v>12</v>
      </c>
      <c r="B47" s="2" t="s">
        <v>11</v>
      </c>
    </row>
    <row r="48" spans="1:4" x14ac:dyDescent="0.35">
      <c r="A48" s="2" t="s">
        <v>8</v>
      </c>
      <c r="B48" t="s">
        <v>2</v>
      </c>
      <c r="C48" t="s">
        <v>0</v>
      </c>
      <c r="D48" t="s">
        <v>9</v>
      </c>
    </row>
    <row r="49" spans="1:4" x14ac:dyDescent="0.35">
      <c r="A49" s="3" t="s">
        <v>14</v>
      </c>
      <c r="B49" s="1">
        <v>13</v>
      </c>
      <c r="C49" s="1">
        <v>32</v>
      </c>
      <c r="D49" s="1">
        <v>45</v>
      </c>
    </row>
    <row r="50" spans="1:4" x14ac:dyDescent="0.35">
      <c r="A50" s="3" t="s">
        <v>15</v>
      </c>
      <c r="B50" s="1">
        <v>11</v>
      </c>
      <c r="C50" s="1">
        <v>3</v>
      </c>
      <c r="D50" s="1">
        <v>14</v>
      </c>
    </row>
    <row r="51" spans="1:4" x14ac:dyDescent="0.35">
      <c r="A51" s="3" t="s">
        <v>9</v>
      </c>
      <c r="B51" s="1">
        <v>24</v>
      </c>
      <c r="C51" s="1">
        <v>35</v>
      </c>
      <c r="D51" s="1">
        <v>59</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Views>
    <sheetView tabSelected="1" workbookViewId="0">
      <selection activeCell="P25" sqref="P25"/>
    </sheetView>
  </sheetViews>
  <sheetFormatPr defaultRowHeight="14.5" x14ac:dyDescent="0.35"/>
  <cols>
    <col min="13" max="13" width="10.36328125" customWidth="1"/>
  </cols>
  <sheetData>
    <row r="1" spans="1:13" x14ac:dyDescent="0.35">
      <c r="A1" s="6"/>
      <c r="B1" s="6"/>
      <c r="C1" s="6"/>
      <c r="D1" s="6"/>
      <c r="E1" s="6"/>
      <c r="F1" s="6"/>
      <c r="G1" s="6"/>
      <c r="H1" s="6"/>
      <c r="I1" s="6"/>
      <c r="J1" s="6"/>
      <c r="K1" s="6"/>
      <c r="L1" s="6"/>
      <c r="M1" s="6"/>
    </row>
    <row r="2" spans="1:13" ht="23.5" x14ac:dyDescent="0.55000000000000004">
      <c r="A2" s="6"/>
      <c r="B2" s="6"/>
      <c r="C2" s="6"/>
      <c r="D2" s="7" t="s">
        <v>13</v>
      </c>
      <c r="E2" s="6"/>
      <c r="F2" s="6"/>
      <c r="G2" s="6"/>
      <c r="H2" s="6"/>
      <c r="I2" s="6"/>
      <c r="J2" s="6"/>
      <c r="K2" s="6"/>
      <c r="L2" s="6"/>
      <c r="M2" s="6"/>
    </row>
    <row r="3" spans="1:13" x14ac:dyDescent="0.35">
      <c r="A3" s="6"/>
      <c r="B3" s="6"/>
      <c r="C3" s="6"/>
      <c r="D3" s="6"/>
      <c r="E3" s="6"/>
      <c r="F3" s="6"/>
      <c r="G3" s="6"/>
      <c r="H3" s="6"/>
      <c r="I3" s="6"/>
      <c r="J3" s="6"/>
      <c r="K3" s="6"/>
      <c r="L3" s="6"/>
      <c r="M3" s="6"/>
    </row>
    <row r="4" spans="1:13" x14ac:dyDescent="0.35">
      <c r="M4" s="6"/>
    </row>
    <row r="19" spans="17:17" x14ac:dyDescent="0.35">
      <c r="Q19" s="8"/>
    </row>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2022-03-18T02:50:57Z</dcterms:created>
  <dcterms:modified xsi:type="dcterms:W3CDTF">2026-04-23T15:52:29Z</dcterms:modified>
</cp:coreProperties>
</file>